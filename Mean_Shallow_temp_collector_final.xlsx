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ome\OneDrive\Desktop\Sk 2023\data\SK_ostras\SK_ostras_R_project\ostrasCulebraSK\"/>
    </mc:Choice>
  </mc:AlternateContent>
  <xr:revisionPtr revIDLastSave="0" documentId="13_ncr:1_{BE16AAAE-4A63-498F-9965-3F2F59377438}" xr6:coauthVersionLast="47" xr6:coauthVersionMax="47" xr10:uidLastSave="{00000000-0000-0000-0000-000000000000}"/>
  <bookViews>
    <workbookView xWindow="9520" yWindow="0" windowWidth="9760" windowHeight="11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O18" i="1"/>
  <c r="P14" i="1"/>
  <c r="O33" i="1"/>
  <c r="P26" i="1"/>
  <c r="P20" i="1"/>
  <c r="P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B38" i="1"/>
</calcChain>
</file>

<file path=xl/sharedStrings.xml><?xml version="1.0" encoding="utf-8"?>
<sst xmlns="http://schemas.openxmlformats.org/spreadsheetml/2006/main" count="77" uniqueCount="74">
  <si>
    <t>Average_by</t>
  </si>
  <si>
    <t>mean.temp_s</t>
  </si>
  <si>
    <t>sd.temp_s</t>
  </si>
  <si>
    <t>n.temp_s</t>
  </si>
  <si>
    <t>se.temp_s</t>
  </si>
  <si>
    <t>lower.ci.temp_s</t>
  </si>
  <si>
    <t>upper.ci.temp_s</t>
  </si>
  <si>
    <t>CPI-L21908371_T1</t>
  </si>
  <si>
    <t>CPI-L21908371_T2</t>
  </si>
  <si>
    <t>CPI-L21908371_T3</t>
  </si>
  <si>
    <t>CPI-L21908371_T4</t>
  </si>
  <si>
    <t>CPI-L21908371_T5</t>
  </si>
  <si>
    <t>CPI-L21908371_T6</t>
  </si>
  <si>
    <t>FUL-L21923399_T1</t>
  </si>
  <si>
    <t>FUL-L21923399_T2</t>
  </si>
  <si>
    <t>FUL-L21923399_T3</t>
  </si>
  <si>
    <t>FUL-L21923399_T4</t>
  </si>
  <si>
    <t>FUL-L21923399_T5</t>
  </si>
  <si>
    <t>FUL-L21923499_T6</t>
  </si>
  <si>
    <t>LPE-L21908370_T1</t>
  </si>
  <si>
    <t>LPE-L21908370_T2</t>
  </si>
  <si>
    <t>LPE-L21908370_T3</t>
  </si>
  <si>
    <t>LPE-L21908370_T4</t>
  </si>
  <si>
    <t>LPE-L21908370_T5</t>
  </si>
  <si>
    <t>LPE-L21908370_T6</t>
  </si>
  <si>
    <t>PCR-L-21923400_T1</t>
  </si>
  <si>
    <t>PCR-L-21923400_T2</t>
  </si>
  <si>
    <t>PCR-L-21923400_T3</t>
  </si>
  <si>
    <t>PCR-L-21923400_T4</t>
  </si>
  <si>
    <t>PCR-L-21923400_T5</t>
  </si>
  <si>
    <t>PCR-L-21923400_T6</t>
  </si>
  <si>
    <t>PSO_L_21908372_T1</t>
  </si>
  <si>
    <t>PSO_L_21908372_T2</t>
  </si>
  <si>
    <t>PSO_L_21908372_T3</t>
  </si>
  <si>
    <t>PSO_L_21908372_T4</t>
  </si>
  <si>
    <t>PSO_L_21908372_T5</t>
  </si>
  <si>
    <t>PSO_L_21908372_T6</t>
  </si>
  <si>
    <t>mean.temp_d</t>
  </si>
  <si>
    <t>sd.temp_d</t>
  </si>
  <si>
    <t>n.temp_d</t>
  </si>
  <si>
    <t>se.temp.d</t>
  </si>
  <si>
    <t>lower.ci.temp_d</t>
  </si>
  <si>
    <t>upper.ci.temp_d</t>
  </si>
  <si>
    <t>CPI-p-22008293_T1</t>
  </si>
  <si>
    <t>CPI-p-22008293_T2</t>
  </si>
  <si>
    <t>CPI-p-22008293_T3</t>
  </si>
  <si>
    <t>CPI-p-22008293_T4</t>
  </si>
  <si>
    <t>CPI-p-22008293_T5</t>
  </si>
  <si>
    <t>CPI-p-22008293_T6</t>
  </si>
  <si>
    <t>FUL_p-21907981_T1</t>
  </si>
  <si>
    <t>FUL_p-21907981_T2</t>
  </si>
  <si>
    <t>FUL_p-21907981_T3</t>
  </si>
  <si>
    <t>FUL_p-21907981_T4</t>
  </si>
  <si>
    <t>FUL_p-21907981_T5</t>
  </si>
  <si>
    <t>FUL_p-2190798_T6</t>
  </si>
  <si>
    <t>LPE-p-21907980_T1</t>
  </si>
  <si>
    <t>LPE-p-21907980_T2</t>
  </si>
  <si>
    <t>LPE-p-21907980_T3</t>
  </si>
  <si>
    <t>LPE-p-21907980_T4</t>
  </si>
  <si>
    <t>LPE-p-21907980_T6</t>
  </si>
  <si>
    <t>LPE-p-21907980_dic_T5</t>
  </si>
  <si>
    <t>PCR-p-21907979_T1</t>
  </si>
  <si>
    <t>PCR-p-21907979_T2</t>
  </si>
  <si>
    <t>PCR-p-21907979_T3</t>
  </si>
  <si>
    <t>PCR-p-21907979_T4</t>
  </si>
  <si>
    <t>PCR-p-21907979_T5</t>
  </si>
  <si>
    <t>PCR-p-21907979_T6</t>
  </si>
  <si>
    <t>PSO_p_22008292_T1</t>
  </si>
  <si>
    <t>PSO_p_22008292_T2</t>
  </si>
  <si>
    <t>PSO_p_22008292_T3</t>
  </si>
  <si>
    <t>PSO_p_22008292_T4</t>
  </si>
  <si>
    <t>PSO_p_22008292_T5</t>
  </si>
  <si>
    <t>PSO_p_22008292_T6</t>
  </si>
  <si>
    <t xml:space="preserve">Mean diference: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</si>
</sst>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O20" sqref="O20"/>
    </sheetView>
  </sheetViews>
  <sheetFormatPr defaultRowHeight="14.35" x14ac:dyDescent="0.5"/>
  <cols>
    <col min="1" max="1" width="22.8203125" style="8" customWidth="1"/>
    <col min="2" max="2" width="34.3515625" style="8" customWidth="1"/>
    <col min="3" max="7" width="8.9375" style="8"/>
    <col min="8" max="8" width="29.29296875" style="9" customWidth="1"/>
    <col min="9" max="9" width="15" style="9" customWidth="1"/>
    <col min="10" max="13" width="8.9375" style="9"/>
    <col min="14" max="14" width="13.17578125" style="9" customWidth="1"/>
    <col min="15" max="16384" width="8.9375" style="8"/>
  </cols>
  <sheetData>
    <row r="1" spans="1:16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0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1" t="s">
        <v>73</v>
      </c>
    </row>
    <row r="2" spans="1:16" s="3" customFormat="1" x14ac:dyDescent="0.5">
      <c r="A2" s="3" t="s">
        <v>7</v>
      </c>
      <c r="B2" s="3">
        <v>30.327629129403171</v>
      </c>
      <c r="C2" s="3">
        <v>0.61897940684279884</v>
      </c>
      <c r="D2" s="3">
        <v>5479</v>
      </c>
      <c r="E2" s="3">
        <v>8.3622962709014974E-3</v>
      </c>
      <c r="F2" s="3">
        <v>30.31123570776948</v>
      </c>
      <c r="G2" s="3">
        <v>30.344022551036868</v>
      </c>
      <c r="H2" s="3" t="s">
        <v>43</v>
      </c>
      <c r="I2" s="3">
        <v>30.05902260454603</v>
      </c>
      <c r="J2" s="3">
        <v>0.60205645989448209</v>
      </c>
      <c r="K2" s="3">
        <v>7963</v>
      </c>
      <c r="L2" s="3">
        <v>6.7468159466255711E-3</v>
      </c>
      <c r="M2" s="3">
        <v>30.045797077771731</v>
      </c>
      <c r="N2" s="3">
        <v>30.072248131320318</v>
      </c>
      <c r="O2" s="3">
        <f>B2-I2</f>
        <v>0.26860652485714098</v>
      </c>
      <c r="P2" s="10">
        <f>AVERAGE(O2:O7)</f>
        <v>0.8222459257387259</v>
      </c>
    </row>
    <row r="3" spans="1:16" s="3" customFormat="1" x14ac:dyDescent="0.5">
      <c r="A3" s="3" t="s">
        <v>8</v>
      </c>
      <c r="B3" s="3">
        <v>31.03898991784914</v>
      </c>
      <c r="C3" s="3">
        <v>0.37958137918994789</v>
      </c>
      <c r="D3" s="3">
        <v>5356</v>
      </c>
      <c r="E3" s="3">
        <v>5.1866222081907226E-3</v>
      </c>
      <c r="F3" s="3">
        <v>31.028822026929411</v>
      </c>
      <c r="G3" s="3">
        <v>31.049157808768872</v>
      </c>
      <c r="H3" s="3" t="s">
        <v>44</v>
      </c>
      <c r="I3" s="3">
        <v>30.503514634146342</v>
      </c>
      <c r="J3" s="3">
        <v>0.45342652943652428</v>
      </c>
      <c r="K3" s="3">
        <v>2870</v>
      </c>
      <c r="L3" s="3">
        <v>8.4638114163940736E-3</v>
      </c>
      <c r="M3" s="3">
        <v>30.486918867278789</v>
      </c>
      <c r="N3" s="3">
        <v>30.520110401013891</v>
      </c>
      <c r="O3" s="3">
        <f t="shared" ref="O3:O31" si="0">B3-I3</f>
        <v>0.53547528370279807</v>
      </c>
      <c r="P3" s="11"/>
    </row>
    <row r="4" spans="1:16" s="3" customFormat="1" x14ac:dyDescent="0.5">
      <c r="A4" s="3" t="s">
        <v>9</v>
      </c>
      <c r="B4" s="3">
        <v>31.5981077324066</v>
      </c>
      <c r="C4" s="3">
        <v>0.5129541729292505</v>
      </c>
      <c r="D4" s="3">
        <v>5755</v>
      </c>
      <c r="E4" s="3">
        <v>6.7617000767544498E-3</v>
      </c>
      <c r="F4" s="3">
        <v>31.58485225547744</v>
      </c>
      <c r="G4" s="3">
        <v>31.611363209335771</v>
      </c>
      <c r="H4" s="3" t="s">
        <v>45</v>
      </c>
      <c r="I4" s="3">
        <v>30.661780500521381</v>
      </c>
      <c r="J4" s="3">
        <v>0.40352146024834817</v>
      </c>
      <c r="K4" s="3">
        <v>5754</v>
      </c>
      <c r="L4" s="3">
        <v>5.3196334440740976E-3</v>
      </c>
      <c r="M4" s="3">
        <v>30.651352016535409</v>
      </c>
      <c r="N4" s="3">
        <v>30.672208984507339</v>
      </c>
      <c r="O4" s="3">
        <f t="shared" si="0"/>
        <v>0.93632723188521894</v>
      </c>
      <c r="P4" s="11"/>
    </row>
    <row r="5" spans="1:16" s="3" customFormat="1" x14ac:dyDescent="0.5">
      <c r="A5" s="3" t="s">
        <v>10</v>
      </c>
      <c r="B5" s="3">
        <v>30.41039212269083</v>
      </c>
      <c r="C5" s="3">
        <v>0.74163501043914581</v>
      </c>
      <c r="D5" s="3">
        <v>5738</v>
      </c>
      <c r="E5" s="3">
        <v>9.7906145146209236E-3</v>
      </c>
      <c r="F5" s="3">
        <v>30.39119882155974</v>
      </c>
      <c r="G5" s="3">
        <v>30.42958542382193</v>
      </c>
      <c r="H5" s="3" t="s">
        <v>46</v>
      </c>
      <c r="I5" s="3">
        <v>29.407032218739111</v>
      </c>
      <c r="J5" s="3">
        <v>0.7840754615418154</v>
      </c>
      <c r="K5" s="3">
        <v>5742</v>
      </c>
      <c r="L5" s="3">
        <v>1.034728159455787E-2</v>
      </c>
      <c r="M5" s="3">
        <v>29.386747642930619</v>
      </c>
      <c r="N5" s="3">
        <v>29.427316794547611</v>
      </c>
      <c r="O5" s="3">
        <f t="shared" si="0"/>
        <v>1.0033599039517185</v>
      </c>
      <c r="P5" s="11"/>
    </row>
    <row r="6" spans="1:16" s="3" customFormat="1" x14ac:dyDescent="0.5">
      <c r="A6" s="3" t="s">
        <v>11</v>
      </c>
      <c r="B6" s="3">
        <v>28.125053023052459</v>
      </c>
      <c r="C6" s="3">
        <v>0.3997321125941074</v>
      </c>
      <c r="D6" s="3">
        <v>2516</v>
      </c>
      <c r="E6" s="3">
        <v>7.9691815431065759E-3</v>
      </c>
      <c r="F6" s="3">
        <v>28.109426193761841</v>
      </c>
      <c r="G6" s="3">
        <v>28.14067985234308</v>
      </c>
      <c r="H6" s="3" t="s">
        <v>47</v>
      </c>
      <c r="I6" s="3">
        <v>27.40773427520805</v>
      </c>
      <c r="J6" s="3">
        <v>0.48616117053099539</v>
      </c>
      <c r="K6" s="3">
        <v>5167</v>
      </c>
      <c r="L6" s="3">
        <v>6.7633371628576886E-3</v>
      </c>
      <c r="M6" s="3">
        <v>27.394475271456059</v>
      </c>
      <c r="N6" s="3">
        <v>27.42099327896004</v>
      </c>
      <c r="O6" s="3">
        <f t="shared" si="0"/>
        <v>0.71731874784440919</v>
      </c>
      <c r="P6" s="11"/>
    </row>
    <row r="7" spans="1:16" s="3" customFormat="1" x14ac:dyDescent="0.5">
      <c r="A7" s="3" t="s">
        <v>12</v>
      </c>
      <c r="B7" s="3">
        <v>29.1831098572851</v>
      </c>
      <c r="C7" s="3">
        <v>0.73992029640009849</v>
      </c>
      <c r="D7" s="3">
        <v>6026</v>
      </c>
      <c r="E7" s="3">
        <v>9.5317002590415457E-3</v>
      </c>
      <c r="F7" s="3">
        <v>29.164424314332461</v>
      </c>
      <c r="G7" s="3">
        <v>29.201795400237732</v>
      </c>
      <c r="H7" s="3" t="s">
        <v>48</v>
      </c>
      <c r="I7" s="3">
        <v>27.71072199509403</v>
      </c>
      <c r="J7" s="3">
        <v>0.64635683809415434</v>
      </c>
      <c r="K7" s="3">
        <v>6115</v>
      </c>
      <c r="L7" s="3">
        <v>8.2655949104342777E-3</v>
      </c>
      <c r="M7" s="3">
        <v>27.694518519030719</v>
      </c>
      <c r="N7" s="3">
        <v>27.72692547115734</v>
      </c>
      <c r="O7" s="13">
        <f t="shared" si="0"/>
        <v>1.47238786219107</v>
      </c>
      <c r="P7" s="12"/>
    </row>
    <row r="8" spans="1:16" s="4" customFormat="1" x14ac:dyDescent="0.5">
      <c r="A8" s="4" t="s">
        <v>13</v>
      </c>
      <c r="B8" s="4">
        <v>30.593049147442329</v>
      </c>
      <c r="C8" s="4">
        <v>0.29488300654889738</v>
      </c>
      <c r="D8" s="4">
        <v>3988</v>
      </c>
      <c r="E8" s="4">
        <v>4.6695192598578952E-3</v>
      </c>
      <c r="F8" s="4">
        <v>30.58389427866733</v>
      </c>
      <c r="G8" s="4">
        <v>30.602204016217321</v>
      </c>
      <c r="H8" s="4" t="s">
        <v>49</v>
      </c>
      <c r="I8" s="4">
        <v>29.72385786046512</v>
      </c>
      <c r="J8" s="4">
        <v>0.51459234363478368</v>
      </c>
      <c r="K8" s="4">
        <v>5375</v>
      </c>
      <c r="L8" s="4">
        <v>7.0189813098753438E-3</v>
      </c>
      <c r="M8" s="4">
        <v>29.710097810780091</v>
      </c>
      <c r="N8" s="4">
        <v>29.737617910150139</v>
      </c>
      <c r="O8" s="4">
        <f t="shared" si="0"/>
        <v>0.86919128697720893</v>
      </c>
      <c r="P8" s="10">
        <f>AVERAGE(O8:O13)</f>
        <v>0.89014610319674148</v>
      </c>
    </row>
    <row r="9" spans="1:16" s="4" customFormat="1" x14ac:dyDescent="0.5">
      <c r="A9" s="4" t="s">
        <v>14</v>
      </c>
      <c r="B9" s="4">
        <v>30.939660297239911</v>
      </c>
      <c r="C9" s="4">
        <v>0.33724327889195238</v>
      </c>
      <c r="D9" s="4">
        <v>5652</v>
      </c>
      <c r="E9" s="4">
        <v>4.4858239626420606E-3</v>
      </c>
      <c r="F9" s="4">
        <v>30.93086636030144</v>
      </c>
      <c r="G9" s="4">
        <v>30.948454234178389</v>
      </c>
      <c r="H9" s="4" t="s">
        <v>50</v>
      </c>
      <c r="I9" s="4">
        <v>30.357827348310629</v>
      </c>
      <c r="J9" s="4">
        <v>0.3677590308793775</v>
      </c>
      <c r="K9" s="4">
        <v>5653</v>
      </c>
      <c r="L9" s="4">
        <v>4.891294967501781E-3</v>
      </c>
      <c r="M9" s="4">
        <v>30.348238532918071</v>
      </c>
      <c r="N9" s="4">
        <v>30.36741616370319</v>
      </c>
      <c r="O9" s="4">
        <f t="shared" si="0"/>
        <v>0.58183294892928217</v>
      </c>
      <c r="P9" s="11"/>
    </row>
    <row r="10" spans="1:16" s="4" customFormat="1" x14ac:dyDescent="0.5">
      <c r="A10" s="4" t="s">
        <v>15</v>
      </c>
      <c r="B10" s="4">
        <v>31.77698746247572</v>
      </c>
      <c r="C10" s="4">
        <v>0.42560742764167631</v>
      </c>
      <c r="D10" s="4">
        <v>5663</v>
      </c>
      <c r="E10" s="4">
        <v>5.6556941792395704E-3</v>
      </c>
      <c r="F10" s="4">
        <v>31.765900135449609</v>
      </c>
      <c r="G10" s="4">
        <v>31.788074789501831</v>
      </c>
      <c r="H10" s="4" t="s">
        <v>51</v>
      </c>
      <c r="I10" s="4">
        <v>30.792919491525421</v>
      </c>
      <c r="J10" s="4">
        <v>0.37528669723141728</v>
      </c>
      <c r="K10" s="4">
        <v>5664</v>
      </c>
      <c r="L10" s="4">
        <v>4.9865657288520014E-3</v>
      </c>
      <c r="M10" s="4">
        <v>30.783143912943309</v>
      </c>
      <c r="N10" s="4">
        <v>30.802695070107539</v>
      </c>
      <c r="O10" s="4">
        <f t="shared" si="0"/>
        <v>0.9840679709502993</v>
      </c>
      <c r="P10" s="11"/>
    </row>
    <row r="11" spans="1:16" s="4" customFormat="1" x14ac:dyDescent="0.5">
      <c r="A11" s="4" t="s">
        <v>16</v>
      </c>
      <c r="B11" s="4">
        <v>30.039222039172611</v>
      </c>
      <c r="C11" s="4">
        <v>0.6447668382152707</v>
      </c>
      <c r="D11" s="4">
        <v>5463</v>
      </c>
      <c r="E11" s="4">
        <v>8.7234262218978884E-3</v>
      </c>
      <c r="F11" s="4">
        <v>30.0221206483474</v>
      </c>
      <c r="G11" s="4">
        <v>30.056323429997828</v>
      </c>
      <c r="H11" s="4" t="s">
        <v>52</v>
      </c>
      <c r="I11" s="4">
        <v>29.374214573416332</v>
      </c>
      <c r="J11" s="4">
        <v>0.75716110488530541</v>
      </c>
      <c r="K11" s="4">
        <v>5462</v>
      </c>
      <c r="L11" s="4">
        <v>1.024501145677174E-2</v>
      </c>
      <c r="M11" s="4">
        <v>29.354130268513028</v>
      </c>
      <c r="N11" s="4">
        <v>29.394298878319631</v>
      </c>
      <c r="O11" s="4">
        <f t="shared" si="0"/>
        <v>0.665007465756279</v>
      </c>
      <c r="P11" s="11"/>
    </row>
    <row r="12" spans="1:16" s="4" customFormat="1" x14ac:dyDescent="0.5">
      <c r="A12" s="4" t="s">
        <v>17</v>
      </c>
      <c r="B12" s="4">
        <v>28.52773502653525</v>
      </c>
      <c r="C12" s="4">
        <v>0.41449175949071099</v>
      </c>
      <c r="D12" s="4">
        <v>5276</v>
      </c>
      <c r="E12" s="4">
        <v>5.7064170329219014E-3</v>
      </c>
      <c r="F12" s="4">
        <v>28.516548087803081</v>
      </c>
      <c r="G12" s="4">
        <v>28.538921965267431</v>
      </c>
      <c r="H12" s="4" t="s">
        <v>53</v>
      </c>
      <c r="I12" s="4">
        <v>27.348720683111949</v>
      </c>
      <c r="J12" s="4">
        <v>0.44680920993066531</v>
      </c>
      <c r="K12" s="4">
        <v>5270</v>
      </c>
      <c r="L12" s="4">
        <v>6.1548405855522204E-3</v>
      </c>
      <c r="M12" s="4">
        <v>27.336654645503032</v>
      </c>
      <c r="N12" s="4">
        <v>27.360786720720881</v>
      </c>
      <c r="O12" s="4">
        <f t="shared" si="0"/>
        <v>1.1790143434233009</v>
      </c>
      <c r="P12" s="11"/>
    </row>
    <row r="13" spans="1:16" s="4" customFormat="1" x14ac:dyDescent="0.5">
      <c r="A13" s="4" t="s">
        <v>18</v>
      </c>
      <c r="B13" s="4">
        <v>28.762120695533579</v>
      </c>
      <c r="C13" s="4">
        <v>0.64323588109599195</v>
      </c>
      <c r="D13" s="4">
        <v>5866</v>
      </c>
      <c r="E13" s="4">
        <v>8.3984517789014394E-3</v>
      </c>
      <c r="F13" s="4">
        <v>28.745656634831722</v>
      </c>
      <c r="G13" s="4">
        <v>28.77858475623545</v>
      </c>
      <c r="H13" s="4" t="s">
        <v>54</v>
      </c>
      <c r="I13" s="4">
        <v>27.7003580923895</v>
      </c>
      <c r="J13" s="4">
        <v>0.66088263930909319</v>
      </c>
      <c r="K13" s="4">
        <v>6018</v>
      </c>
      <c r="L13" s="4">
        <v>8.5191889724188022E-3</v>
      </c>
      <c r="M13" s="4">
        <v>27.683657429373891</v>
      </c>
      <c r="N13" s="4">
        <v>27.717058755405109</v>
      </c>
      <c r="O13" s="13">
        <f t="shared" si="0"/>
        <v>1.0617626031440786</v>
      </c>
      <c r="P13" s="12"/>
    </row>
    <row r="14" spans="1:16" s="5" customFormat="1" x14ac:dyDescent="0.5">
      <c r="A14" s="5" t="s">
        <v>19</v>
      </c>
      <c r="B14" s="5">
        <v>29.290573831775699</v>
      </c>
      <c r="C14" s="5">
        <v>0.54567052033036256</v>
      </c>
      <c r="D14" s="5">
        <v>5350</v>
      </c>
      <c r="E14" s="5">
        <v>7.4602537698012254E-3</v>
      </c>
      <c r="F14" s="5">
        <v>29.27594869372707</v>
      </c>
      <c r="G14" s="5">
        <v>29.305198969824328</v>
      </c>
      <c r="H14" s="5" t="s">
        <v>55</v>
      </c>
      <c r="I14" s="5">
        <v>29.07879425480321</v>
      </c>
      <c r="J14" s="5">
        <v>0.47230817239727618</v>
      </c>
      <c r="K14" s="5">
        <v>5361</v>
      </c>
      <c r="L14" s="5">
        <v>6.4506363073338416E-3</v>
      </c>
      <c r="M14" s="5">
        <v>29.066148384355952</v>
      </c>
      <c r="N14" s="5">
        <v>29.091440125250472</v>
      </c>
      <c r="O14" s="5">
        <f t="shared" si="0"/>
        <v>0.21177957697248928</v>
      </c>
      <c r="P14" s="10">
        <f>AVERAGE(O14:O19)</f>
        <v>0.69110420598235633</v>
      </c>
    </row>
    <row r="15" spans="1:16" s="5" customFormat="1" x14ac:dyDescent="0.5">
      <c r="A15" s="5" t="s">
        <v>20</v>
      </c>
      <c r="B15" s="5">
        <v>30.10352131025498</v>
      </c>
      <c r="C15" s="5">
        <v>0.31617889669487009</v>
      </c>
      <c r="D15" s="5">
        <v>5373</v>
      </c>
      <c r="E15" s="5">
        <v>4.3134469325385293E-3</v>
      </c>
      <c r="F15" s="5">
        <v>30.095065204381051</v>
      </c>
      <c r="G15" s="5">
        <v>30.111977416128909</v>
      </c>
      <c r="H15" s="5" t="s">
        <v>56</v>
      </c>
      <c r="I15" s="5">
        <v>29.772563477289651</v>
      </c>
      <c r="J15" s="5">
        <v>0.31238961077025768</v>
      </c>
      <c r="K15" s="5">
        <v>5372</v>
      </c>
      <c r="L15" s="5">
        <v>4.2621485279067482E-3</v>
      </c>
      <c r="M15" s="5">
        <v>29.764207936749042</v>
      </c>
      <c r="N15" s="5">
        <v>29.780919017830261</v>
      </c>
      <c r="O15" s="5">
        <f t="shared" si="0"/>
        <v>0.33095783296532844</v>
      </c>
      <c r="P15" s="11"/>
    </row>
    <row r="16" spans="1:16" s="5" customFormat="1" x14ac:dyDescent="0.5">
      <c r="A16" s="5" t="s">
        <v>21</v>
      </c>
      <c r="B16" s="5">
        <v>30.936288942143101</v>
      </c>
      <c r="C16" s="5">
        <v>0.40320971764364832</v>
      </c>
      <c r="D16" s="5">
        <v>5842</v>
      </c>
      <c r="E16" s="5">
        <v>5.2753370670716934E-3</v>
      </c>
      <c r="F16" s="5">
        <v>30.925947328516681</v>
      </c>
      <c r="G16" s="5">
        <v>30.94663055576952</v>
      </c>
      <c r="H16" s="5" t="s">
        <v>57</v>
      </c>
      <c r="I16" s="5">
        <v>30.39805613554681</v>
      </c>
      <c r="J16" s="5">
        <v>0.343478556724783</v>
      </c>
      <c r="K16" s="5">
        <v>5843</v>
      </c>
      <c r="L16" s="5">
        <v>4.4934683410796138E-3</v>
      </c>
      <c r="M16" s="5">
        <v>30.38924727439035</v>
      </c>
      <c r="N16" s="5">
        <v>30.40686499670327</v>
      </c>
      <c r="O16" s="5">
        <f t="shared" si="0"/>
        <v>0.53823280659629091</v>
      </c>
      <c r="P16" s="11"/>
    </row>
    <row r="17" spans="1:16" s="5" customFormat="1" x14ac:dyDescent="0.5">
      <c r="A17" s="5" t="s">
        <v>22</v>
      </c>
      <c r="B17" s="5">
        <v>30.03848911651729</v>
      </c>
      <c r="C17" s="5">
        <v>0.6451417019585749</v>
      </c>
      <c r="D17" s="5">
        <v>5467</v>
      </c>
      <c r="E17" s="5">
        <v>8.725304229387847E-3</v>
      </c>
      <c r="F17" s="5">
        <v>30.021384046823609</v>
      </c>
      <c r="G17" s="5">
        <v>30.055594186210961</v>
      </c>
      <c r="H17" s="5" t="s">
        <v>58</v>
      </c>
      <c r="I17" s="5">
        <v>29.210097931539451</v>
      </c>
      <c r="J17" s="5">
        <v>0.6998412134346752</v>
      </c>
      <c r="K17" s="5">
        <v>5463</v>
      </c>
      <c r="L17" s="5">
        <v>9.4685595328377892E-3</v>
      </c>
      <c r="M17" s="5">
        <v>29.191535782562202</v>
      </c>
      <c r="N17" s="5">
        <v>29.22866008051669</v>
      </c>
      <c r="O17" s="5">
        <f t="shared" si="0"/>
        <v>0.82839118497783915</v>
      </c>
      <c r="P17" s="11"/>
    </row>
    <row r="18" spans="1:16" s="5" customFormat="1" x14ac:dyDescent="0.5">
      <c r="A18" s="5" t="s">
        <v>24</v>
      </c>
      <c r="B18" s="5">
        <v>28.35990810512773</v>
      </c>
      <c r="C18" s="5">
        <v>0.40358625664630859</v>
      </c>
      <c r="D18" s="5">
        <v>5441</v>
      </c>
      <c r="E18" s="5">
        <v>5.4713816027449694E-3</v>
      </c>
      <c r="F18" s="5">
        <v>28.349182007762661</v>
      </c>
      <c r="G18" s="5">
        <v>28.370634202492809</v>
      </c>
      <c r="H18" s="5" t="s">
        <v>60</v>
      </c>
      <c r="I18" s="5">
        <v>27.3279103081438</v>
      </c>
      <c r="J18" s="5">
        <v>0.46401629875185602</v>
      </c>
      <c r="K18" s="5">
        <v>5452</v>
      </c>
      <c r="L18" s="5">
        <v>6.2842768881143226E-3</v>
      </c>
      <c r="M18" s="5">
        <v>27.315590616264441</v>
      </c>
      <c r="N18" s="5">
        <v>27.340230000023151</v>
      </c>
      <c r="O18" s="14">
        <f>B18-I18</f>
        <v>1.03199779698393</v>
      </c>
      <c r="P18" s="11"/>
    </row>
    <row r="19" spans="1:16" s="5" customFormat="1" x14ac:dyDescent="0.5">
      <c r="A19" s="5" t="s">
        <v>23</v>
      </c>
      <c r="B19" s="5">
        <v>28.420498304200361</v>
      </c>
      <c r="C19" s="5">
        <v>0.46745254976698752</v>
      </c>
      <c r="D19" s="5">
        <v>3833</v>
      </c>
      <c r="E19" s="5">
        <v>7.5503680699740717E-3</v>
      </c>
      <c r="F19" s="5">
        <v>28.405695179065081</v>
      </c>
      <c r="G19" s="5">
        <v>28.435301429335649</v>
      </c>
      <c r="H19" s="5" t="s">
        <v>59</v>
      </c>
      <c r="I19" s="5">
        <v>27.215232266802101</v>
      </c>
      <c r="J19" s="5">
        <v>0.41222539553460558</v>
      </c>
      <c r="K19" s="5">
        <v>5907</v>
      </c>
      <c r="L19" s="5">
        <v>5.3635367164425558E-3</v>
      </c>
      <c r="M19" s="5">
        <v>27.20471777319479</v>
      </c>
      <c r="N19" s="5">
        <v>27.225746760409411</v>
      </c>
      <c r="O19" s="13">
        <f>B19-I19</f>
        <v>1.2052660373982604</v>
      </c>
      <c r="P19" s="12"/>
    </row>
    <row r="20" spans="1:16" s="6" customFormat="1" x14ac:dyDescent="0.5">
      <c r="A20" s="6" t="s">
        <v>25</v>
      </c>
      <c r="B20" s="6">
        <v>29.137851526787351</v>
      </c>
      <c r="C20" s="6">
        <v>0.51200122578088125</v>
      </c>
      <c r="D20" s="6">
        <v>5469</v>
      </c>
      <c r="E20" s="6">
        <v>6.9233619838534356E-3</v>
      </c>
      <c r="F20" s="6">
        <v>29.124278982318831</v>
      </c>
      <c r="G20" s="6">
        <v>29.151424071255871</v>
      </c>
      <c r="H20" s="6" t="s">
        <v>61</v>
      </c>
      <c r="I20" s="6">
        <v>29.183423140193749</v>
      </c>
      <c r="J20" s="6">
        <v>0.4519324983632676</v>
      </c>
      <c r="K20" s="6">
        <v>5471</v>
      </c>
      <c r="L20" s="6">
        <v>6.1099859993190156E-3</v>
      </c>
      <c r="M20" s="6">
        <v>29.17144513728735</v>
      </c>
      <c r="N20" s="6">
        <v>29.195401143100149</v>
      </c>
      <c r="O20" s="6">
        <f t="shared" si="0"/>
        <v>-4.557161340639837E-2</v>
      </c>
      <c r="P20" s="10">
        <f>AVERAGE(O20:O25)</f>
        <v>0.51268887963393317</v>
      </c>
    </row>
    <row r="21" spans="1:16" s="6" customFormat="1" x14ac:dyDescent="0.5">
      <c r="A21" s="6" t="s">
        <v>26</v>
      </c>
      <c r="B21" s="6">
        <v>30.004299873851149</v>
      </c>
      <c r="C21" s="6">
        <v>0.15845675915635299</v>
      </c>
      <c r="D21" s="6">
        <v>5549</v>
      </c>
      <c r="E21" s="6">
        <v>2.127175914050363E-3</v>
      </c>
      <c r="F21" s="6">
        <v>30.000129775915859</v>
      </c>
      <c r="G21" s="6">
        <v>30.00846997178644</v>
      </c>
      <c r="H21" s="6" t="s">
        <v>62</v>
      </c>
      <c r="I21" s="6">
        <v>29.761165107913669</v>
      </c>
      <c r="J21" s="6">
        <v>0.1730092080849959</v>
      </c>
      <c r="K21" s="6">
        <v>5560</v>
      </c>
      <c r="L21" s="6">
        <v>2.3202341919364932E-3</v>
      </c>
      <c r="M21" s="6">
        <v>29.756616542103249</v>
      </c>
      <c r="N21" s="6">
        <v>29.76571367372409</v>
      </c>
      <c r="O21" s="6">
        <f t="shared" si="0"/>
        <v>0.24313476593748007</v>
      </c>
      <c r="P21" s="11"/>
    </row>
    <row r="22" spans="1:16" s="6" customFormat="1" x14ac:dyDescent="0.5">
      <c r="A22" s="6" t="s">
        <v>27</v>
      </c>
      <c r="B22" s="6">
        <v>30.806208311954851</v>
      </c>
      <c r="C22" s="6">
        <v>0.35960065428723981</v>
      </c>
      <c r="D22" s="6">
        <v>5847</v>
      </c>
      <c r="E22" s="6">
        <v>4.702772027747582E-3</v>
      </c>
      <c r="F22" s="6">
        <v>30.796989139408229</v>
      </c>
      <c r="G22" s="6">
        <v>30.815427484501459</v>
      </c>
      <c r="H22" s="6" t="s">
        <v>63</v>
      </c>
      <c r="I22" s="6">
        <v>30.3594273255814</v>
      </c>
      <c r="J22" s="6">
        <v>0.30532946570197689</v>
      </c>
      <c r="K22" s="6">
        <v>5848</v>
      </c>
      <c r="L22" s="6">
        <v>3.9926848857329564E-3</v>
      </c>
      <c r="M22" s="6">
        <v>30.351600186743919</v>
      </c>
      <c r="N22" s="6">
        <v>30.36725446441887</v>
      </c>
      <c r="O22" s="6">
        <f t="shared" si="0"/>
        <v>0.44678098637345087</v>
      </c>
      <c r="P22" s="11"/>
    </row>
    <row r="23" spans="1:16" s="6" customFormat="1" x14ac:dyDescent="0.5">
      <c r="A23" s="6" t="s">
        <v>28</v>
      </c>
      <c r="B23" s="6">
        <v>30.132020848573521</v>
      </c>
      <c r="C23" s="6">
        <v>0.57546754829838265</v>
      </c>
      <c r="D23" s="6">
        <v>5468</v>
      </c>
      <c r="E23" s="6">
        <v>7.7822752104673197E-3</v>
      </c>
      <c r="F23" s="6">
        <v>30.116764491779769</v>
      </c>
      <c r="G23" s="6">
        <v>30.14727720536726</v>
      </c>
      <c r="H23" s="6" t="s">
        <v>64</v>
      </c>
      <c r="I23" s="6">
        <v>29.488093036008038</v>
      </c>
      <c r="J23" s="6">
        <v>0.61198624532652823</v>
      </c>
      <c r="K23" s="6">
        <v>5471</v>
      </c>
      <c r="L23" s="6">
        <v>8.2738625884684093E-3</v>
      </c>
      <c r="M23" s="6">
        <v>29.471872974269299</v>
      </c>
      <c r="N23" s="6">
        <v>29.504313097746788</v>
      </c>
      <c r="O23" s="6">
        <f t="shared" si="0"/>
        <v>0.64392781256548304</v>
      </c>
      <c r="P23" s="11"/>
    </row>
    <row r="24" spans="1:16" s="6" customFormat="1" x14ac:dyDescent="0.5">
      <c r="A24" s="6" t="s">
        <v>29</v>
      </c>
      <c r="B24" s="6">
        <v>28.41913011695906</v>
      </c>
      <c r="C24" s="6">
        <v>0.37972319121678222</v>
      </c>
      <c r="D24" s="6">
        <v>5472</v>
      </c>
      <c r="E24" s="6">
        <v>5.1332696429578911E-3</v>
      </c>
      <c r="F24" s="6">
        <v>28.40906686702327</v>
      </c>
      <c r="G24" s="6">
        <v>28.429193366894861</v>
      </c>
      <c r="H24" s="6" t="s">
        <v>65</v>
      </c>
      <c r="I24" s="6">
        <v>27.587782393850659</v>
      </c>
      <c r="J24" s="6">
        <v>0.40297986977872352</v>
      </c>
      <c r="K24" s="6">
        <v>5464</v>
      </c>
      <c r="L24" s="6">
        <v>5.4516505124769131E-3</v>
      </c>
      <c r="M24" s="6">
        <v>27.577094987331449</v>
      </c>
      <c r="N24" s="6">
        <v>27.59846980036987</v>
      </c>
      <c r="O24" s="6">
        <f t="shared" si="0"/>
        <v>0.83134772310840077</v>
      </c>
      <c r="P24" s="11"/>
    </row>
    <row r="25" spans="1:16" s="6" customFormat="1" x14ac:dyDescent="0.5">
      <c r="A25" s="6" t="s">
        <v>30</v>
      </c>
      <c r="B25" s="6">
        <v>28.207896043701371</v>
      </c>
      <c r="C25" s="6">
        <v>0.29824518745539769</v>
      </c>
      <c r="D25" s="6">
        <v>6041</v>
      </c>
      <c r="E25" s="6">
        <v>3.8372405627765029E-3</v>
      </c>
      <c r="F25" s="6">
        <v>28.20037368298626</v>
      </c>
      <c r="G25" s="6">
        <v>28.215418404416489</v>
      </c>
      <c r="H25" s="6" t="s">
        <v>66</v>
      </c>
      <c r="I25" s="6">
        <v>27.251382440476188</v>
      </c>
      <c r="J25" s="6">
        <v>0.28794028284535578</v>
      </c>
      <c r="K25" s="6">
        <v>6048</v>
      </c>
      <c r="L25" s="6">
        <v>3.7025125193392221E-3</v>
      </c>
      <c r="M25" s="6">
        <v>27.244124196484201</v>
      </c>
      <c r="N25" s="6">
        <v>27.25864068446819</v>
      </c>
      <c r="O25" s="13">
        <f t="shared" si="0"/>
        <v>0.95651360322518286</v>
      </c>
      <c r="P25" s="12"/>
    </row>
    <row r="26" spans="1:16" s="7" customFormat="1" x14ac:dyDescent="0.5">
      <c r="A26" s="7" t="s">
        <v>31</v>
      </c>
      <c r="B26" s="7">
        <v>29.22720839051166</v>
      </c>
      <c r="C26" s="7">
        <v>0.51025538539988535</v>
      </c>
      <c r="D26" s="7">
        <v>5101</v>
      </c>
      <c r="E26" s="7">
        <v>7.1443041517903387E-3</v>
      </c>
      <c r="F26" s="7">
        <v>29.213202487722342</v>
      </c>
      <c r="G26" s="7">
        <v>29.241214293300981</v>
      </c>
      <c r="H26" s="7" t="s">
        <v>67</v>
      </c>
      <c r="I26" s="7">
        <v>28.998793252255791</v>
      </c>
      <c r="J26" s="7">
        <v>0.44453910768712812</v>
      </c>
      <c r="K26" s="7">
        <v>5098</v>
      </c>
      <c r="L26" s="7">
        <v>6.2260134973274126E-3</v>
      </c>
      <c r="M26" s="7">
        <v>28.986587591614889</v>
      </c>
      <c r="N26" s="7">
        <v>29.010998912896689</v>
      </c>
      <c r="O26" s="7">
        <f t="shared" si="0"/>
        <v>0.22841513825586901</v>
      </c>
      <c r="P26" s="10">
        <f>AVERAGE(O26:O31)</f>
        <v>0.77398406213571336</v>
      </c>
    </row>
    <row r="27" spans="1:16" s="7" customFormat="1" x14ac:dyDescent="0.5">
      <c r="A27" s="7" t="s">
        <v>32</v>
      </c>
      <c r="B27" s="7">
        <v>30.145503450716689</v>
      </c>
      <c r="C27" s="7">
        <v>0.16611012589888541</v>
      </c>
      <c r="D27" s="7">
        <v>5651</v>
      </c>
      <c r="E27" s="7">
        <v>2.2097007024717758E-3</v>
      </c>
      <c r="F27" s="7">
        <v>30.141171588938551</v>
      </c>
      <c r="G27" s="7">
        <v>30.14983531249483</v>
      </c>
      <c r="H27" s="7" t="s">
        <v>68</v>
      </c>
      <c r="I27" s="7">
        <v>29.68557769911504</v>
      </c>
      <c r="J27" s="7">
        <v>0.15405690129042501</v>
      </c>
      <c r="K27" s="7">
        <v>5650</v>
      </c>
      <c r="L27" s="7">
        <v>2.0495425276395559E-3</v>
      </c>
      <c r="M27" s="7">
        <v>29.681559808698939</v>
      </c>
      <c r="N27" s="7">
        <v>29.689595589531141</v>
      </c>
      <c r="O27" s="7">
        <f t="shared" si="0"/>
        <v>0.45992575160164861</v>
      </c>
      <c r="P27" s="11"/>
    </row>
    <row r="28" spans="1:16" s="7" customFormat="1" x14ac:dyDescent="0.5">
      <c r="A28" s="7" t="s">
        <v>33</v>
      </c>
      <c r="B28" s="7">
        <v>30.999275688788771</v>
      </c>
      <c r="C28" s="7">
        <v>0.37000870578055772</v>
      </c>
      <c r="D28" s="7">
        <v>5771</v>
      </c>
      <c r="E28" s="7">
        <v>4.8706441977374631E-3</v>
      </c>
      <c r="F28" s="7">
        <v>30.989727398655599</v>
      </c>
      <c r="G28" s="7">
        <v>31.008823978921939</v>
      </c>
      <c r="H28" s="7" t="s">
        <v>69</v>
      </c>
      <c r="I28" s="7">
        <v>30.25711190022519</v>
      </c>
      <c r="J28" s="7">
        <v>0.30812822391933731</v>
      </c>
      <c r="K28" s="7">
        <v>5773</v>
      </c>
      <c r="L28" s="7">
        <v>4.0553720335865604E-3</v>
      </c>
      <c r="M28" s="7">
        <v>30.249161850008509</v>
      </c>
      <c r="N28" s="7">
        <v>30.265061950441861</v>
      </c>
      <c r="O28" s="7">
        <f t="shared" si="0"/>
        <v>0.74216378856358034</v>
      </c>
      <c r="P28" s="11"/>
    </row>
    <row r="29" spans="1:16" s="7" customFormat="1" x14ac:dyDescent="0.5">
      <c r="A29" s="7" t="s">
        <v>34</v>
      </c>
      <c r="B29" s="7">
        <v>30.452483623432531</v>
      </c>
      <c r="C29" s="7">
        <v>0.53731847732241611</v>
      </c>
      <c r="D29" s="7">
        <v>5343</v>
      </c>
      <c r="E29" s="7">
        <v>7.3508775479327257E-3</v>
      </c>
      <c r="F29" s="7">
        <v>30.43807290308462</v>
      </c>
      <c r="G29" s="7">
        <v>30.466894343780439</v>
      </c>
      <c r="H29" s="7" t="s">
        <v>70</v>
      </c>
      <c r="I29" s="7">
        <v>29.511515287938469</v>
      </c>
      <c r="J29" s="7">
        <v>0.58439764750853918</v>
      </c>
      <c r="K29" s="7">
        <v>5331</v>
      </c>
      <c r="L29" s="7">
        <v>8.0039454069348072E-3</v>
      </c>
      <c r="M29" s="7">
        <v>29.495824280023051</v>
      </c>
      <c r="N29" s="7">
        <v>29.527206295853901</v>
      </c>
      <c r="O29" s="7">
        <f t="shared" si="0"/>
        <v>0.94096833549406256</v>
      </c>
      <c r="P29" s="11"/>
    </row>
    <row r="30" spans="1:16" s="7" customFormat="1" x14ac:dyDescent="0.5">
      <c r="A30" s="7" t="s">
        <v>35</v>
      </c>
      <c r="B30" s="7">
        <v>28.61459948792977</v>
      </c>
      <c r="C30" s="7">
        <v>0.37591812437241551</v>
      </c>
      <c r="D30" s="7">
        <v>5468</v>
      </c>
      <c r="E30" s="7">
        <v>5.0836894436868136E-3</v>
      </c>
      <c r="F30" s="7">
        <v>28.604633433288431</v>
      </c>
      <c r="G30" s="7">
        <v>28.624565542571119</v>
      </c>
      <c r="H30" s="7" t="s">
        <v>71</v>
      </c>
      <c r="I30" s="7">
        <v>27.530451317715961</v>
      </c>
      <c r="J30" s="7">
        <v>0.40549644762593529</v>
      </c>
      <c r="K30" s="7">
        <v>5464</v>
      </c>
      <c r="L30" s="7">
        <v>5.485695644602182E-3</v>
      </c>
      <c r="M30" s="7">
        <v>27.51969716917684</v>
      </c>
      <c r="N30" s="7">
        <v>27.541205466255079</v>
      </c>
      <c r="O30" s="7">
        <f t="shared" si="0"/>
        <v>1.0841481702138083</v>
      </c>
      <c r="P30" s="11"/>
    </row>
    <row r="31" spans="1:16" s="7" customFormat="1" x14ac:dyDescent="0.5">
      <c r="A31" s="7" t="s">
        <v>36</v>
      </c>
      <c r="B31" s="7">
        <v>28.375480552876891</v>
      </c>
      <c r="C31" s="7">
        <v>0.30718631549920772</v>
      </c>
      <c r="D31" s="7">
        <v>6222</v>
      </c>
      <c r="E31" s="7">
        <v>3.894366865964366E-3</v>
      </c>
      <c r="F31" s="7">
        <v>28.367846248743199</v>
      </c>
      <c r="G31" s="7">
        <v>28.383114857010568</v>
      </c>
      <c r="H31" s="7" t="s">
        <v>72</v>
      </c>
      <c r="I31" s="7">
        <v>27.187197364191579</v>
      </c>
      <c r="J31" s="7">
        <v>0.29389315666077082</v>
      </c>
      <c r="K31" s="7">
        <v>6222</v>
      </c>
      <c r="L31" s="7">
        <v>3.7258423103041262E-3</v>
      </c>
      <c r="M31" s="7">
        <v>27.179893426393729</v>
      </c>
      <c r="N31" s="7">
        <v>27.19450130198943</v>
      </c>
      <c r="O31" s="13">
        <f t="shared" si="0"/>
        <v>1.1882831886853111</v>
      </c>
      <c r="P31" s="12"/>
    </row>
    <row r="33" spans="1:16" s="5" customFormat="1" x14ac:dyDescent="0.5">
      <c r="A33" s="5" t="s">
        <v>23</v>
      </c>
      <c r="B33" s="5">
        <v>28.420498304200361</v>
      </c>
      <c r="C33" s="5">
        <v>0.46745254976698752</v>
      </c>
      <c r="D33" s="5">
        <v>3833</v>
      </c>
      <c r="E33" s="5">
        <v>7.5503680699740717E-3</v>
      </c>
      <c r="F33" s="5">
        <v>28.405695179065081</v>
      </c>
      <c r="G33" s="5">
        <v>28.435301429335649</v>
      </c>
      <c r="H33" s="5" t="s">
        <v>59</v>
      </c>
      <c r="I33" s="5">
        <v>27.215232266802101</v>
      </c>
      <c r="J33" s="5">
        <v>0.41222539553460558</v>
      </c>
      <c r="K33" s="5">
        <v>5907</v>
      </c>
      <c r="L33" s="5">
        <v>5.3635367164425558E-3</v>
      </c>
      <c r="M33" s="5">
        <v>27.20471777319479</v>
      </c>
      <c r="N33" s="5">
        <v>27.225746760409411</v>
      </c>
      <c r="O33" s="5">
        <f t="shared" ref="O33" si="1">B33-I33</f>
        <v>1.2052660373982604</v>
      </c>
      <c r="P33" s="8"/>
    </row>
    <row r="38" spans="1:16" x14ac:dyDescent="0.5">
      <c r="B38" s="8">
        <f>AVERAGE(B2:B37)</f>
        <v>29.723025557464187</v>
      </c>
    </row>
  </sheetData>
  <sortState xmlns:xlrd2="http://schemas.microsoft.com/office/spreadsheetml/2017/richdata2" ref="A2:G39">
    <sortCondition ref="A1:A39"/>
  </sortState>
  <mergeCells count="5">
    <mergeCell ref="P2:P7"/>
    <mergeCell ref="P8:P13"/>
    <mergeCell ref="P14:P19"/>
    <mergeCell ref="P20:P25"/>
    <mergeCell ref="P26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Gomez</cp:lastModifiedBy>
  <dcterms:created xsi:type="dcterms:W3CDTF">2025-12-14T12:58:49Z</dcterms:created>
  <dcterms:modified xsi:type="dcterms:W3CDTF">2025-12-25T16:29:34Z</dcterms:modified>
</cp:coreProperties>
</file>